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al Record" sheetId="2" state="visible" r:id="rId4"/>
    <sheet name="Loop Check" sheetId="3" state="visible" r:id="rId5"/>
    <sheet name="mA Converter" sheetId="4" state="visible" r:id="rId6"/>
    <sheet name="Split-Half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<sst xmlns="http://schemas.openxmlformats.org/spreadsheetml/2006/main" count="134" uniqueCount="114">
  <si>
    <t xml:space="preserve">Field Troubleshooting Calculators</t>
  </si>
  <si>
    <t xml:space="preserve">Companion to: Instrumentation Troubleshooting: Loops, Transmitters &amp; Valves</t>
  </si>
  <si>
    <t xml:space="preserve">How to use</t>
  </si>
  <si>
    <t xml:space="preserve">Yellow cells with blue text are inputs. Everything else is a formula. Overwrite the example values; do not type over formula cells.</t>
  </si>
  <si>
    <t xml:space="preserve">Cal Record</t>
  </si>
  <si>
    <t xml:space="preserve">As-found / as-left record for a 4-20 mA transmitter. Computes ideal output, error in % of span, PASS/FAIL vs tolerance, max error, and hysteresis.</t>
  </si>
  <si>
    <t xml:space="preserve">Loop Check</t>
  </si>
  <si>
    <t xml:space="preserve">Five-point hot loop check. Computes expected mA and engineering units (EU) at each point, deviation at the card and at the HMI, and PASS/FAIL.</t>
  </si>
  <si>
    <t xml:space="preserve">mA Converter</t>
  </si>
  <si>
    <t xml:space="preserve">mA to % and EU, EU to mA, plus a first-guess meaning of the reading (NAMUR NE43 bands). Includes a 5% step reference table.</t>
  </si>
  <si>
    <t xml:space="preserve">Split-Half Log</t>
  </si>
  <si>
    <t xml:space="preserve">Record each isolation measurement. Flags a step that eliminated nothing (the wrong measurement).</t>
  </si>
  <si>
    <t xml:space="preserve">Formulas</t>
  </si>
  <si>
    <t xml:space="preserve">% span = (I - 4) / 16 x 100.  EU = LRV + ((I - 4) / 16) x (URV - LRV).  I = 4 + 16 x (EU - LRV) / (URV - LRV).  Error (% span) = (Measured mA - Ideal mA) / 16 x 100.</t>
  </si>
  <si>
    <t xml:space="preserve">Alarm bands</t>
  </si>
  <si>
    <t xml:space="preserve">NAMUR NE43: valid signal 3.8-20.5 mA; failure at or below 3.6 mA or at or above 21.0 mA. Vendor defaults vary (some 3.75 / 21.75 mA). Check the device's configured alarm levels.</t>
  </si>
  <si>
    <t xml:space="preserve">Safety</t>
  </si>
  <si>
    <t xml:space="preserve">These sheets do not authorize work. Follow your site's permit, LOTO, energized-work, and MOC procedures. Site procedure wins.</t>
  </si>
  <si>
    <t xml:space="preserve">As-Found / As-Left Calibration Record (4-20 mA output)</t>
  </si>
  <si>
    <t xml:space="preserve">Example values shown: 0-100 psi pressure transmitter. Overwrite yellow cells.</t>
  </si>
  <si>
    <t xml:space="preserve">Tag</t>
  </si>
  <si>
    <t xml:space="preserve">PT-101</t>
  </si>
  <si>
    <t xml:space="preserve">Test standard</t>
  </si>
  <si>
    <t xml:space="preserve">Device / S/N</t>
  </si>
  <si>
    <t xml:space="preserve">Example DP/P xmtr</t>
  </si>
  <si>
    <t xml:space="preserve">Std. cal due</t>
  </si>
  <si>
    <t xml:space="preserve">LRV</t>
  </si>
  <si>
    <t xml:space="preserve">Date</t>
  </si>
  <si>
    <t xml:space="preserve">URV</t>
  </si>
  <si>
    <t xml:space="preserve">Technician</t>
  </si>
  <si>
    <t xml:space="preserve">Units</t>
  </si>
  <si>
    <t xml:space="preserve">psi</t>
  </si>
  <si>
    <t xml:space="preserve">Span</t>
  </si>
  <si>
    <t xml:space="preserve">Tolerance (± % span)</t>
  </si>
  <si>
    <t xml:space="preserve">As-found (record before any adjustment)</t>
  </si>
  <si>
    <t xml:space="preserve">% Span</t>
  </si>
  <si>
    <t xml:space="preserve">Input applied</t>
  </si>
  <si>
    <t xml:space="preserve">Ideal mA</t>
  </si>
  <si>
    <t xml:space="preserve">As-found mA</t>
  </si>
  <si>
    <t xml:space="preserve">Error (% span)</t>
  </si>
  <si>
    <t xml:space="preserve">In tol.</t>
  </si>
  <si>
    <t xml:space="preserve">50 (down)</t>
  </si>
  <si>
    <t xml:space="preserve">0 (down)</t>
  </si>
  <si>
    <t xml:space="preserve">Max as-found error (% span)</t>
  </si>
  <si>
    <t xml:space="preserve">Hysteresis at 50% (% span)</t>
  </si>
  <si>
    <t xml:space="preserve">Hysteresis at 0% (% span)</t>
  </si>
  <si>
    <t xml:space="preserve">As-found result</t>
  </si>
  <si>
    <t xml:space="preserve">Action taken</t>
  </si>
  <si>
    <t xml:space="preserve">Span trim</t>
  </si>
  <si>
    <t xml:space="preserve">Pick from list. Re-ranging is not calibration.</t>
  </si>
  <si>
    <t xml:space="preserve">As-left</t>
  </si>
  <si>
    <t xml:space="preserve">As-left mA</t>
  </si>
  <si>
    <t xml:space="preserve">Max as-left error (% span)</t>
  </si>
  <si>
    <t xml:space="preserve">As-left result</t>
  </si>
  <si>
    <t xml:space="preserve">Failure mode: adjusting before recording as-found destroys the evidence. Record first, then trim.</t>
  </si>
  <si>
    <t xml:space="preserve">Hot Loop Check: Five-Point Signal Injection</t>
  </si>
  <si>
    <t xml:space="preserve">Inject at the field end, read at the card and the HMI. Example: 0-200 °C temperature loop.</t>
  </si>
  <si>
    <t xml:space="preserve">Loop tag</t>
  </si>
  <si>
    <t xml:space="preserve">TT-205</t>
  </si>
  <si>
    <t xml:space="preserve">Fail direction</t>
  </si>
  <si>
    <t xml:space="preserve">UP</t>
  </si>
  <si>
    <t xml:space="preserve">°C</t>
  </si>
  <si>
    <t xml:space="preserve">Expected mA</t>
  </si>
  <si>
    <t xml:space="preserve">Actual mA (card)</t>
  </si>
  <si>
    <t xml:space="preserve">Expected EU</t>
  </si>
  <si>
    <t xml:space="preserve">HMI reads (EU)</t>
  </si>
  <si>
    <t xml:space="preserve">mA dev (% span)</t>
  </si>
  <si>
    <t xml:space="preserve">HMI dev (% span)</t>
  </si>
  <si>
    <t xml:space="preserve">Pass</t>
  </si>
  <si>
    <t xml:space="preserve">Overall</t>
  </si>
  <si>
    <t xml:space="preserve">Reading the result</t>
  </si>
  <si>
    <t xml:space="preserve">1. mA dev bad, HMI dev matches it: problem is upstream of the card (injection, wiring, card input).</t>
  </si>
  <si>
    <t xml:space="preserve">2. mA dev good, HMI dev bad: signal arrives correctly; suspect scaling (LRV/URV/units) in the controller.</t>
  </si>
  <si>
    <t xml:space="preserve">3. Error same size at every point: zero/offset error. Error grows with signal: span error.</t>
  </si>
  <si>
    <t xml:space="preserve">4. Failure mode: passing a loop check with damping hiding a slow card response. Let each point settle.</t>
  </si>
  <si>
    <t xml:space="preserve">mA / Engineering Units Converter</t>
  </si>
  <si>
    <t xml:space="preserve">Reference table (5% steps)</t>
  </si>
  <si>
    <t xml:space="preserve">mA</t>
  </si>
  <si>
    <t xml:space="preserve">EU</t>
  </si>
  <si>
    <t xml:space="preserve">in H2O</t>
  </si>
  <si>
    <t xml:space="preserve">mA to EU</t>
  </si>
  <si>
    <t xml:space="preserve">Measured current (mA)</t>
  </si>
  <si>
    <t xml:space="preserve">% of span</t>
  </si>
  <si>
    <t xml:space="preserve">Engineering units</t>
  </si>
  <si>
    <t xml:space="preserve">What it probably means</t>
  </si>
  <si>
    <t xml:space="preserve">Readings outside 4-20 mA give % below 0 or above 100 on purpose; the meaning column is the useful part.</t>
  </si>
  <si>
    <t xml:space="preserve">EU to mA</t>
  </si>
  <si>
    <t xml:space="preserve">Process value (EU)</t>
  </si>
  <si>
    <t xml:space="preserve">Expected current (mA)</t>
  </si>
  <si>
    <t xml:space="preserve">Voltage across 250 ohm (V)</t>
  </si>
  <si>
    <t xml:space="preserve">Split-Half Isolation Log</t>
  </si>
  <si>
    <t xml:space="preserve">Measure in the middle of what is left. Each step should cut the suspect chain roughly in half.</t>
  </si>
  <si>
    <t xml:space="preserve">LT-301</t>
  </si>
  <si>
    <t xml:space="preserve">Links in chain at start</t>
  </si>
  <si>
    <t xml:space="preserve">Process, sensor, transmitter, wiring, card, controller, display = 7</t>
  </si>
  <si>
    <t xml:space="preserve">Step</t>
  </si>
  <si>
    <t xml:space="preserve">Measure at</t>
  </si>
  <si>
    <t xml:space="preserve">Expected</t>
  </si>
  <si>
    <t xml:space="preserve">Actual</t>
  </si>
  <si>
    <t xml:space="preserve">Good / Bad</t>
  </si>
  <si>
    <t xml:space="preserve">Links before</t>
  </si>
  <si>
    <t xml:space="preserve">Links after</t>
  </si>
  <si>
    <t xml:space="preserve">Flag</t>
  </si>
  <si>
    <t xml:space="preserve">Field terminals / marshalling</t>
  </si>
  <si>
    <t xml:space="preserve">12.0 mA</t>
  </si>
  <si>
    <t xml:space="preserve">Good</t>
  </si>
  <si>
    <t xml:space="preserve">Transmitter terminals</t>
  </si>
  <si>
    <t xml:space="preserve">Transmitter local display vs process</t>
  </si>
  <si>
    <t xml:space="preserve">40%</t>
  </si>
  <si>
    <t xml:space="preserve">95%</t>
  </si>
  <si>
    <t xml:space="preserve">Bad</t>
  </si>
  <si>
    <t xml:space="preserve">Fault isolated to</t>
  </si>
  <si>
    <t xml:space="preserve">Process connection / wet leg (upstream of transmitter)</t>
  </si>
  <si>
    <t xml:space="preserve">Verification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</si>
</sst>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"/>
    <numFmt numFmtId="167" formatCode="0.000"/>
    <numFmt numFmtId="168" formatCode="\+0.00;\-0.00;0.00"/>
    <numFmt numFmtId="16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5C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2"/>
      <color rgb="FF0B3D5C"/>
      <name val="Calibri"/>
      <family val="0"/>
      <charset val="1"/>
    </font>
    <font>
      <b val="true"/>
      <sz val="10"/>
      <color rgb="FF8A2B06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EEF3F7"/>
      </patternFill>
    </fill>
    <fill>
      <patternFill patternType="solid">
        <fgColor rgb="FFEEF3F7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2F6B1A"/>
      </font>
      <fill>
        <patternFill>
          <bgColor rgb="FFDCEFD2"/>
        </patternFill>
      </fill>
    </dxf>
    <dxf>
      <font>
        <name val="Calibri"/>
        <charset val="1"/>
        <family val="0"/>
        <b val="1"/>
        <color rgb="FF8A1C2B"/>
      </font>
      <fill>
        <patternFill>
          <bgColor rgb="FFF6D5D9"/>
        </patternFill>
      </fill>
    </dxf>
    <dxf>
      <fill>
        <patternFill>
          <bgColor rgb="FFF6D5D9"/>
        </patternFill>
      </fill>
    </dxf>
    <dxf>
      <fill>
        <patternFill>
          <bgColor rgb="FFDCEFD2"/>
        </patternFill>
      </fill>
    </dxf>
  </dxfs>
  <colors>
    <indexedColors>
      <rgbColor rgb="FF000000"/>
      <rgbColor rgb="FFEEF3F7"/>
      <rgbColor rgb="FFFF0000"/>
      <rgbColor rgb="FF00FF00"/>
      <rgbColor rgb="FF0000FF"/>
      <rgbColor rgb="FFFFFF00"/>
      <rgbColor rgb="FFFF00FF"/>
      <rgbColor rgb="FF00FFFF"/>
      <rgbColor rgb="FF8A1C2B"/>
      <rgbColor rgb="FF2F6B1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D2"/>
      <rgbColor rgb="FFFFFF99"/>
      <rgbColor rgb="FF99CCFF"/>
      <rgbColor rgb="FFFF99CC"/>
      <rgbColor rgb="FFCC99FF"/>
      <rgbColor rgb="FFF6D5D9"/>
      <rgbColor rgb="FF3366FF"/>
      <rgbColor rgb="FF33CCCC"/>
      <rgbColor rgb="FF99CC00"/>
      <rgbColor rgb="FFFFCC00"/>
      <rgbColor rgb="FFFF9900"/>
      <rgbColor rgb="FFFF6600"/>
      <rgbColor rgb="FF666666"/>
      <rgbColor rgb="FFA0A0A0"/>
      <rgbColor rgb="FF0B3D5C"/>
      <rgbColor rgb="FF339966"/>
      <rgbColor rgb="FF003300"/>
      <rgbColor rgb="FF333300"/>
      <rgbColor rgb="FF8A2B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1.5" hidden="false" customHeight="true" outlineLevel="0" collapsed="false">
      <c r="B5" s="3" t="s">
        <v>2</v>
      </c>
      <c r="C5" s="4" t="s">
        <v>3</v>
      </c>
    </row>
    <row r="6" customFormat="false" ht="31.5" hidden="false" customHeight="true" outlineLevel="0" collapsed="false">
      <c r="B6" s="3" t="s">
        <v>4</v>
      </c>
      <c r="C6" s="4" t="s">
        <v>5</v>
      </c>
    </row>
    <row r="7" customFormat="false" ht="31.5" hidden="false" customHeight="true" outlineLevel="0" collapsed="false">
      <c r="B7" s="3" t="s">
        <v>6</v>
      </c>
      <c r="C7" s="4" t="s">
        <v>7</v>
      </c>
    </row>
    <row r="8" customFormat="false" ht="31.5" hidden="false" customHeight="true" outlineLevel="0" collapsed="false">
      <c r="B8" s="3" t="s">
        <v>8</v>
      </c>
      <c r="C8" s="4" t="s">
        <v>9</v>
      </c>
    </row>
    <row r="9" customFormat="false" ht="31.5" hidden="false" customHeight="true" outlineLevel="0" collapsed="false">
      <c r="B9" s="3" t="s">
        <v>10</v>
      </c>
      <c r="C9" s="4" t="s">
        <v>11</v>
      </c>
    </row>
    <row r="10" customFormat="false" ht="31.5" hidden="false" customHeight="true" outlineLevel="0" collapsed="false">
      <c r="B10" s="3" t="s">
        <v>12</v>
      </c>
      <c r="C10" s="4" t="s">
        <v>13</v>
      </c>
    </row>
    <row r="11" customFormat="false" ht="31.5" hidden="false" customHeight="true" outlineLevel="0" collapsed="false">
      <c r="B11" s="3" t="s">
        <v>14</v>
      </c>
      <c r="C11" s="4" t="s">
        <v>15</v>
      </c>
    </row>
    <row r="12" customFormat="false" ht="31.5" hidden="false" customHeight="true" outlineLevel="0" collapsed="false">
      <c r="B12" s="3" t="s">
        <v>16</v>
      </c>
      <c r="C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0" min="10" style="0" width="16"/>
  </cols>
  <sheetData>
    <row r="2" customFormat="false" ht="19.7" hidden="false" customHeight="false" outlineLevel="0" collapsed="false">
      <c r="B2" s="1" t="s">
        <v>18</v>
      </c>
    </row>
    <row r="3" customFormat="false" ht="15" hidden="false" customHeight="false" outlineLevel="0" collapsed="false">
      <c r="B3" s="2" t="s">
        <v>19</v>
      </c>
    </row>
    <row r="5" customFormat="false" ht="15" hidden="false" customHeight="false" outlineLevel="0" collapsed="false">
      <c r="B5" s="5" t="s">
        <v>20</v>
      </c>
      <c r="C5" s="6" t="s">
        <v>21</v>
      </c>
      <c r="I5" s="5" t="s">
        <v>22</v>
      </c>
      <c r="J5" s="6"/>
    </row>
    <row r="6" customFormat="false" ht="28.35" hidden="false" customHeight="false" outlineLevel="0" collapsed="false">
      <c r="B6" s="5" t="s">
        <v>23</v>
      </c>
      <c r="C6" s="6" t="s">
        <v>24</v>
      </c>
      <c r="I6" s="5" t="s">
        <v>25</v>
      </c>
      <c r="J6" s="7"/>
    </row>
    <row r="7" customFormat="false" ht="15" hidden="false" customHeight="false" outlineLevel="0" collapsed="false">
      <c r="B7" s="5" t="s">
        <v>26</v>
      </c>
      <c r="C7" s="8" t="n">
        <v>0</v>
      </c>
      <c r="I7" s="5" t="s">
        <v>27</v>
      </c>
      <c r="J7" s="7"/>
    </row>
    <row r="8" customFormat="false" ht="15" hidden="false" customHeight="false" outlineLevel="0" collapsed="false">
      <c r="B8" s="5" t="s">
        <v>28</v>
      </c>
      <c r="C8" s="8" t="n">
        <v>100</v>
      </c>
      <c r="I8" s="5" t="s">
        <v>29</v>
      </c>
      <c r="J8" s="6"/>
    </row>
    <row r="9" customFormat="false" ht="15" hidden="false" customHeight="false" outlineLevel="0" collapsed="false">
      <c r="B9" s="5" t="s">
        <v>30</v>
      </c>
      <c r="C9" s="6" t="s">
        <v>31</v>
      </c>
      <c r="I9" s="5" t="s">
        <v>32</v>
      </c>
      <c r="J9" s="9" t="n">
        <f aca="false">C8-C7</f>
        <v>100</v>
      </c>
    </row>
    <row r="10" customFormat="false" ht="15" hidden="false" customHeight="false" outlineLevel="0" collapsed="false">
      <c r="B10" s="5" t="s">
        <v>33</v>
      </c>
      <c r="C10" s="8" t="n">
        <v>0.5</v>
      </c>
    </row>
    <row r="12" customFormat="false" ht="15" hidden="false" customHeight="false" outlineLevel="0" collapsed="false">
      <c r="B12" s="10" t="s">
        <v>34</v>
      </c>
    </row>
    <row r="13" customFormat="false" ht="15" hidden="false" customHeight="false" outlineLevel="0" collapsed="false">
      <c r="B13" s="11" t="s">
        <v>35</v>
      </c>
      <c r="C13" s="11" t="s">
        <v>36</v>
      </c>
      <c r="D13" s="11" t="s">
        <v>37</v>
      </c>
      <c r="E13" s="11" t="s">
        <v>38</v>
      </c>
      <c r="F13" s="11" t="s">
        <v>39</v>
      </c>
      <c r="G13" s="11" t="s">
        <v>40</v>
      </c>
    </row>
    <row r="14" customFormat="false" ht="15" hidden="false" customHeight="false" outlineLevel="0" collapsed="false">
      <c r="B14" s="6" t="n">
        <v>0</v>
      </c>
      <c r="C14" s="12" t="n">
        <f aca="false">$C$7+B14/100*($C$8-$C$7)</f>
        <v>0</v>
      </c>
      <c r="D14" s="13" t="n">
        <f aca="false">4+16*(C14-$C$7)/($C$8-$C$7)</f>
        <v>4</v>
      </c>
      <c r="E14" s="12" t="n">
        <v>4.02</v>
      </c>
      <c r="F14" s="14" t="n">
        <f aca="false">IF(E14="","",(E14-D14)/16*100)</f>
        <v>0.124999999999997</v>
      </c>
      <c r="G14" s="15" t="str">
        <f aca="false">IF(E14="","",IF(ABS(F14)&lt;=$C$10,"PASS","FAIL"))</f>
        <v>PASS</v>
      </c>
    </row>
    <row r="15" customFormat="false" ht="15" hidden="false" customHeight="false" outlineLevel="0" collapsed="false">
      <c r="B15" s="6" t="n">
        <v>25</v>
      </c>
      <c r="C15" s="12" t="n">
        <f aca="false">$C$7+B15/100*($C$8-$C$7)</f>
        <v>25</v>
      </c>
      <c r="D15" s="13" t="n">
        <f aca="false">4+16*(C15-$C$7)/($C$8-$C$7)</f>
        <v>8</v>
      </c>
      <c r="E15" s="12" t="n">
        <v>8.05</v>
      </c>
      <c r="F15" s="14" t="n">
        <f aca="false">IF(E15="","",(E15-D15)/16*100)</f>
        <v>0.312500000000004</v>
      </c>
      <c r="G15" s="15" t="str">
        <f aca="false">IF(E15="","",IF(ABS(F15)&lt;=$C$10,"PASS","FAIL"))</f>
        <v>PASS</v>
      </c>
    </row>
    <row r="16" customFormat="false" ht="15" hidden="false" customHeight="false" outlineLevel="0" collapsed="false">
      <c r="B16" s="6" t="n">
        <v>50</v>
      </c>
      <c r="C16" s="12" t="n">
        <f aca="false">$C$7+B16/100*($C$8-$C$7)</f>
        <v>50</v>
      </c>
      <c r="D16" s="13" t="n">
        <f aca="false">4+16*(C16-$C$7)/($C$8-$C$7)</f>
        <v>12</v>
      </c>
      <c r="E16" s="12" t="n">
        <v>12.11</v>
      </c>
      <c r="F16" s="14" t="n">
        <f aca="false">IF(E16="","",(E16-D16)/16*100)</f>
        <v>0.687499999999996</v>
      </c>
      <c r="G16" s="15" t="str">
        <f aca="false">IF(E16="","",IF(ABS(F16)&lt;=$C$10,"PASS","FAIL"))</f>
        <v>FAIL</v>
      </c>
    </row>
    <row r="17" customFormat="false" ht="15" hidden="false" customHeight="false" outlineLevel="0" collapsed="false">
      <c r="B17" s="6" t="n">
        <v>75</v>
      </c>
      <c r="C17" s="12" t="n">
        <f aca="false">$C$7+B17/100*($C$8-$C$7)</f>
        <v>75</v>
      </c>
      <c r="D17" s="13" t="n">
        <f aca="false">4+16*(C17-$C$7)/($C$8-$C$7)</f>
        <v>16</v>
      </c>
      <c r="E17" s="12" t="n">
        <v>16.14</v>
      </c>
      <c r="F17" s="14" t="n">
        <f aca="false">IF(E17="","",(E17-D17)/16*100)</f>
        <v>0.875000000000004</v>
      </c>
      <c r="G17" s="15" t="str">
        <f aca="false">IF(E17="","",IF(ABS(F17)&lt;=$C$10,"PASS","FAIL"))</f>
        <v>FAIL</v>
      </c>
    </row>
    <row r="18" customFormat="false" ht="15" hidden="false" customHeight="false" outlineLevel="0" collapsed="false">
      <c r="B18" s="6" t="n">
        <v>100</v>
      </c>
      <c r="C18" s="12" t="n">
        <f aca="false">$C$7+B18/100*($C$8-$C$7)</f>
        <v>100</v>
      </c>
      <c r="D18" s="13" t="n">
        <f aca="false">4+16*(C18-$C$7)/($C$8-$C$7)</f>
        <v>20</v>
      </c>
      <c r="E18" s="12" t="n">
        <v>20.18</v>
      </c>
      <c r="F18" s="14" t="n">
        <f aca="false">IF(E18="","",(E18-D18)/16*100)</f>
        <v>1.125</v>
      </c>
      <c r="G18" s="15" t="str">
        <f aca="false">IF(E18="","",IF(ABS(F18)&lt;=$C$10,"PASS","FAIL"))</f>
        <v>FAIL</v>
      </c>
    </row>
    <row r="19" customFormat="false" ht="15" hidden="false" customHeight="false" outlineLevel="0" collapsed="false">
      <c r="B19" s="6" t="s">
        <v>41</v>
      </c>
      <c r="C19" s="12" t="n">
        <f aca="false">$C$7+VALUE(LEFT(B19&amp;" ",FIND(" ",B19&amp;" ")-1))/100*($C$8-$C$7)</f>
        <v>50</v>
      </c>
      <c r="D19" s="13" t="n">
        <f aca="false">4+16*(C19-$C$7)/($C$8-$C$7)</f>
        <v>12</v>
      </c>
      <c r="E19" s="12" t="n">
        <v>12.15</v>
      </c>
      <c r="F19" s="14" t="n">
        <f aca="false">IF(E19="","",(E19-D19)/16*100)</f>
        <v>0.937500000000002</v>
      </c>
      <c r="G19" s="15" t="str">
        <f aca="false">IF(E19="","",IF(ABS(F19)&lt;=$C$10,"PASS","FAIL"))</f>
        <v>FAIL</v>
      </c>
    </row>
    <row r="20" customFormat="false" ht="15" hidden="false" customHeight="false" outlineLevel="0" collapsed="false">
      <c r="B20" s="6" t="s">
        <v>42</v>
      </c>
      <c r="C20" s="12" t="n">
        <f aca="false">$C$7+VALUE(LEFT(B20&amp;" ",FIND(" ",B20&amp;" ")-1))/100*($C$8-$C$7)</f>
        <v>0</v>
      </c>
      <c r="D20" s="13" t="n">
        <f aca="false">4+16*(C20-$C$7)/($C$8-$C$7)</f>
        <v>4</v>
      </c>
      <c r="E20" s="12" t="n">
        <v>4.05</v>
      </c>
      <c r="F20" s="14" t="n">
        <f aca="false">IF(E20="","",(E20-D20)/16*100)</f>
        <v>0.312499999999999</v>
      </c>
      <c r="G20" s="15" t="str">
        <f aca="false">IF(E20="","",IF(ABS(F20)&lt;=$C$10,"PASS","FAIL"))</f>
        <v>PASS</v>
      </c>
    </row>
    <row r="22" customFormat="false" ht="15" hidden="false" customHeight="false" outlineLevel="0" collapsed="false">
      <c r="B22" s="5" t="s">
        <v>43</v>
      </c>
      <c r="E22" s="16" t="n">
        <f aca="false">IF(COUNT(E14:E20)=0,"",MAX(MAX(F14:F20),-MIN(F14:F20)))</f>
        <v>1.125</v>
      </c>
    </row>
    <row r="23" customFormat="false" ht="15" hidden="false" customHeight="false" outlineLevel="0" collapsed="false">
      <c r="B23" s="5" t="s">
        <v>44</v>
      </c>
      <c r="E23" s="17" t="n">
        <f aca="false">IF(OR(E16="",E19=""),"",ABS(E19-E16)/16*100)</f>
        <v>0.250000000000006</v>
      </c>
    </row>
    <row r="24" customFormat="false" ht="15" hidden="false" customHeight="false" outlineLevel="0" collapsed="false">
      <c r="B24" s="5" t="s">
        <v>45</v>
      </c>
      <c r="E24" s="17" t="n">
        <f aca="false">IF(OR(E14="",E20=""),"",ABS(E20-E14)/16*100)</f>
        <v>0.187500000000002</v>
      </c>
    </row>
    <row r="25" customFormat="false" ht="15" hidden="false" customHeight="false" outlineLevel="0" collapsed="false">
      <c r="B25" s="5" t="s">
        <v>46</v>
      </c>
      <c r="E25" s="15" t="str">
        <f aca="false">IF(E22="","",IF(E22&lt;=$C$10,"PASS","FAIL"))</f>
        <v>FAIL</v>
      </c>
    </row>
    <row r="27" customFormat="false" ht="15" hidden="false" customHeight="false" outlineLevel="0" collapsed="false">
      <c r="B27" s="5" t="s">
        <v>47</v>
      </c>
      <c r="C27" s="6" t="s">
        <v>48</v>
      </c>
      <c r="D27" s="2" t="s">
        <v>49</v>
      </c>
    </row>
    <row r="29" customFormat="false" ht="15" hidden="false" customHeight="false" outlineLevel="0" collapsed="false">
      <c r="B29" s="10" t="s">
        <v>50</v>
      </c>
    </row>
    <row r="30" customFormat="false" ht="15" hidden="false" customHeight="false" outlineLevel="0" collapsed="false">
      <c r="B30" s="11" t="s">
        <v>35</v>
      </c>
      <c r="C30" s="11" t="s">
        <v>36</v>
      </c>
      <c r="D30" s="11" t="s">
        <v>37</v>
      </c>
      <c r="E30" s="11" t="s">
        <v>51</v>
      </c>
      <c r="F30" s="11" t="s">
        <v>39</v>
      </c>
      <c r="G30" s="11" t="s">
        <v>40</v>
      </c>
    </row>
    <row r="31" customFormat="false" ht="15" hidden="false" customHeight="false" outlineLevel="0" collapsed="false">
      <c r="B31" s="6" t="n">
        <v>0</v>
      </c>
      <c r="C31" s="12" t="n">
        <f aca="false">$C$7+B31/100*($C$8-$C$7)</f>
        <v>0</v>
      </c>
      <c r="D31" s="13" t="n">
        <f aca="false">4+16*(C31-$C$7)/($C$8-$C$7)</f>
        <v>4</v>
      </c>
      <c r="E31" s="12" t="n">
        <v>4</v>
      </c>
      <c r="F31" s="14" t="n">
        <f aca="false">IF(E31="","",(E31-D31)/16*100)</f>
        <v>0</v>
      </c>
      <c r="G31" s="15" t="str">
        <f aca="false">IF(E31="","",IF(ABS(F31)&lt;=$C$10,"PASS","FAIL"))</f>
        <v>PASS</v>
      </c>
    </row>
    <row r="32" customFormat="false" ht="15" hidden="false" customHeight="false" outlineLevel="0" collapsed="false">
      <c r="B32" s="6" t="n">
        <v>25</v>
      </c>
      <c r="C32" s="12" t="n">
        <f aca="false">$C$7+B32/100*($C$8-$C$7)</f>
        <v>25</v>
      </c>
      <c r="D32" s="13" t="n">
        <f aca="false">4+16*(C32-$C$7)/($C$8-$C$7)</f>
        <v>8</v>
      </c>
      <c r="E32" s="12" t="n">
        <v>8.01</v>
      </c>
      <c r="F32" s="14" t="n">
        <f aca="false">IF(E32="","",(E32-D32)/16*100)</f>
        <v>0.0624999999999987</v>
      </c>
      <c r="G32" s="15" t="str">
        <f aca="false">IF(E32="","",IF(ABS(F32)&lt;=$C$10,"PASS","FAIL"))</f>
        <v>PASS</v>
      </c>
    </row>
    <row r="33" customFormat="false" ht="15" hidden="false" customHeight="false" outlineLevel="0" collapsed="false">
      <c r="B33" s="6" t="n">
        <v>50</v>
      </c>
      <c r="C33" s="12" t="n">
        <f aca="false">$C$7+B33/100*($C$8-$C$7)</f>
        <v>50</v>
      </c>
      <c r="D33" s="13" t="n">
        <f aca="false">4+16*(C33-$C$7)/($C$8-$C$7)</f>
        <v>12</v>
      </c>
      <c r="E33" s="12" t="n">
        <v>12</v>
      </c>
      <c r="F33" s="14" t="n">
        <f aca="false">IF(E33="","",(E33-D33)/16*100)</f>
        <v>0</v>
      </c>
      <c r="G33" s="15" t="str">
        <f aca="false">IF(E33="","",IF(ABS(F33)&lt;=$C$10,"PASS","FAIL"))</f>
        <v>PASS</v>
      </c>
    </row>
    <row r="34" customFormat="false" ht="15" hidden="false" customHeight="false" outlineLevel="0" collapsed="false">
      <c r="B34" s="6" t="n">
        <v>75</v>
      </c>
      <c r="C34" s="12" t="n">
        <f aca="false">$C$7+B34/100*($C$8-$C$7)</f>
        <v>75</v>
      </c>
      <c r="D34" s="13" t="n">
        <f aca="false">4+16*(C34-$C$7)/($C$8-$C$7)</f>
        <v>16</v>
      </c>
      <c r="E34" s="12" t="n">
        <v>16.02</v>
      </c>
      <c r="F34" s="14" t="n">
        <f aca="false">IF(E34="","",(E34-D34)/16*100)</f>
        <v>0.124999999999997</v>
      </c>
      <c r="G34" s="15" t="str">
        <f aca="false">IF(E34="","",IF(ABS(F34)&lt;=$C$10,"PASS","FAIL"))</f>
        <v>PASS</v>
      </c>
    </row>
    <row r="35" customFormat="false" ht="15" hidden="false" customHeight="false" outlineLevel="0" collapsed="false">
      <c r="B35" s="6" t="n">
        <v>100</v>
      </c>
      <c r="C35" s="12" t="n">
        <f aca="false">$C$7+B35/100*($C$8-$C$7)</f>
        <v>100</v>
      </c>
      <c r="D35" s="13" t="n">
        <f aca="false">4+16*(C35-$C$7)/($C$8-$C$7)</f>
        <v>20</v>
      </c>
      <c r="E35" s="12" t="n">
        <v>20.01</v>
      </c>
      <c r="F35" s="14" t="n">
        <f aca="false">IF(E35="","",(E35-D35)/16*100)</f>
        <v>0.0625000000000098</v>
      </c>
      <c r="G35" s="15" t="str">
        <f aca="false">IF(E35="","",IF(ABS(F35)&lt;=$C$10,"PASS","FAIL"))</f>
        <v>PASS</v>
      </c>
    </row>
    <row r="37" customFormat="false" ht="15" hidden="false" customHeight="false" outlineLevel="0" collapsed="false">
      <c r="B37" s="5" t="s">
        <v>52</v>
      </c>
      <c r="E37" s="16" t="n">
        <f aca="false">IF(COUNT(E31:E35)=0,"",MAX(MAX(F31:F35),-MIN(F31:F35)))</f>
        <v>0.124999999999997</v>
      </c>
    </row>
    <row r="38" customFormat="false" ht="15" hidden="false" customHeight="false" outlineLevel="0" collapsed="false">
      <c r="B38" s="5" t="s">
        <v>53</v>
      </c>
      <c r="E38" s="15" t="str">
        <f aca="false">IF(E37="","",IF(E37&lt;=$C$10,"PASS","FAIL"))</f>
        <v>PASS</v>
      </c>
    </row>
    <row r="40" customFormat="false" ht="15" hidden="false" customHeight="false" outlineLevel="0" collapsed="false">
      <c r="B40" s="18" t="s">
        <v>54</v>
      </c>
    </row>
  </sheetData>
  <conditionalFormatting sqref="G14:G20">
    <cfRule type="expression" priority="2" aboveAverage="0" equalAverage="0" bottom="0" percent="0" rank="0" text="" dxfId="0">
      <formula>G14="PASS"</formula>
    </cfRule>
    <cfRule type="expression" priority="3" aboveAverage="0" equalAverage="0" bottom="0" percent="0" rank="0" text="" dxfId="1">
      <formula>G14="FAIL"</formula>
    </cfRule>
  </conditionalFormatting>
  <conditionalFormatting sqref="E25">
    <cfRule type="expression" priority="4" aboveAverage="0" equalAverage="0" bottom="0" percent="0" rank="0" text="" dxfId="0">
      <formula>E25="PASS"</formula>
    </cfRule>
    <cfRule type="expression" priority="5" aboveAverage="0" equalAverage="0" bottom="0" percent="0" rank="0" text="" dxfId="1">
      <formula>E25="FAIL"</formula>
    </cfRule>
  </conditionalFormatting>
  <conditionalFormatting sqref="G31:G35">
    <cfRule type="expression" priority="6" aboveAverage="0" equalAverage="0" bottom="0" percent="0" rank="0" text="" dxfId="0">
      <formula>G31="PASS"</formula>
    </cfRule>
    <cfRule type="expression" priority="7" aboveAverage="0" equalAverage="0" bottom="0" percent="0" rank="0" text="" dxfId="1">
      <formula>G31="FAIL"</formula>
    </cfRule>
  </conditionalFormatting>
  <conditionalFormatting sqref="E38">
    <cfRule type="expression" priority="8" aboveAverage="0" equalAverage="0" bottom="0" percent="0" rank="0" text="" dxfId="0">
      <formula>E38="PASS"</formula>
    </cfRule>
    <cfRule type="expression" priority="9" aboveAverage="0" equalAverage="0" bottom="0" percent="0" rank="0" text="" dxfId="1">
      <formula>E38="FAIL"</formula>
    </cfRule>
  </conditionalFormatting>
  <dataValidations count="1">
    <dataValidation allowBlank="true" errorStyle="stop" operator="between" showDropDown="false" showErrorMessage="false" showInputMessage="false" sqref="C27" type="list">
      <formula1>"No adjustment,Zero trim,Span trim,Zero and span trim,Sensor trim,Re-range only,Repaired,Replaced"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8" min="6" style="0" width="15"/>
    <col collapsed="false" customWidth="true" hidden="false" outlineLevel="0" max="9" min="9" style="0" width="10"/>
  </cols>
  <sheetData>
    <row r="2" customFormat="false" ht="19.7" hidden="false" customHeight="false" outlineLevel="0" collapsed="false">
      <c r="B2" s="1" t="s">
        <v>55</v>
      </c>
    </row>
    <row r="3" customFormat="false" ht="15" hidden="false" customHeight="false" outlineLevel="0" collapsed="false">
      <c r="B3" s="2" t="s">
        <v>56</v>
      </c>
    </row>
    <row r="5" customFormat="false" ht="15" hidden="false" customHeight="false" outlineLevel="0" collapsed="false">
      <c r="B5" s="5" t="s">
        <v>57</v>
      </c>
      <c r="D5" s="6" t="s">
        <v>58</v>
      </c>
    </row>
    <row r="6" customFormat="false" ht="15" hidden="false" customHeight="false" outlineLevel="0" collapsed="false">
      <c r="B6" s="5" t="s">
        <v>26</v>
      </c>
      <c r="D6" s="8" t="n">
        <v>0</v>
      </c>
      <c r="F6" s="5" t="s">
        <v>59</v>
      </c>
      <c r="G6" s="6" t="s">
        <v>60</v>
      </c>
    </row>
    <row r="7" customFormat="false" ht="15" hidden="false" customHeight="false" outlineLevel="0" collapsed="false">
      <c r="B7" s="5" t="s">
        <v>28</v>
      </c>
      <c r="D7" s="8" t="n">
        <v>200</v>
      </c>
    </row>
    <row r="8" customFormat="false" ht="15" hidden="false" customHeight="false" outlineLevel="0" collapsed="false">
      <c r="B8" s="5" t="s">
        <v>30</v>
      </c>
      <c r="D8" s="6" t="s">
        <v>61</v>
      </c>
    </row>
    <row r="9" customFormat="false" ht="15" hidden="false" customHeight="false" outlineLevel="0" collapsed="false">
      <c r="B9" s="5" t="s">
        <v>33</v>
      </c>
      <c r="D9" s="8" t="n">
        <v>0.5</v>
      </c>
    </row>
    <row r="11" customFormat="false" ht="28.35" hidden="false" customHeight="false" outlineLevel="0" collapsed="false">
      <c r="B11" s="11" t="s">
        <v>35</v>
      </c>
      <c r="C11" s="11" t="s">
        <v>62</v>
      </c>
      <c r="D11" s="11" t="s">
        <v>63</v>
      </c>
      <c r="E11" s="11" t="s">
        <v>64</v>
      </c>
      <c r="F11" s="11" t="s">
        <v>65</v>
      </c>
      <c r="G11" s="11" t="s">
        <v>66</v>
      </c>
      <c r="H11" s="11" t="s">
        <v>67</v>
      </c>
      <c r="I11" s="11" t="s">
        <v>68</v>
      </c>
    </row>
    <row r="12" customFormat="false" ht="15" hidden="false" customHeight="false" outlineLevel="0" collapsed="false">
      <c r="B12" s="19" t="n">
        <v>0</v>
      </c>
      <c r="C12" s="17" t="n">
        <f aca="false">4+0.16*B12</f>
        <v>4</v>
      </c>
      <c r="D12" s="20" t="n">
        <v>4.01</v>
      </c>
      <c r="E12" s="17" t="n">
        <f aca="false">$D$6+B12/100*($D$7-$D$6)</f>
        <v>0</v>
      </c>
      <c r="F12" s="20" t="n">
        <v>0.1</v>
      </c>
      <c r="G12" s="14" t="n">
        <f aca="false">IF(D12="","",(D12-C12)/16*100)</f>
        <v>0.0624999999999987</v>
      </c>
      <c r="H12" s="14" t="n">
        <f aca="false">IF(F12="","",(F12-E12)/($D$7-$D$6)*100)</f>
        <v>0.05</v>
      </c>
      <c r="I12" s="15" t="str">
        <f aca="false">IF(OR(D12="",F12=""),"",IF(AND(ABS(G12)&lt;=$D$9,ABS(H12)&lt;=$D$9),"PASS","FAIL"))</f>
        <v>PASS</v>
      </c>
    </row>
    <row r="13" customFormat="false" ht="15" hidden="false" customHeight="false" outlineLevel="0" collapsed="false">
      <c r="B13" s="19" t="n">
        <v>25</v>
      </c>
      <c r="C13" s="17" t="n">
        <f aca="false">4+0.16*B13</f>
        <v>8</v>
      </c>
      <c r="D13" s="20" t="n">
        <v>8</v>
      </c>
      <c r="E13" s="17" t="n">
        <f aca="false">$D$6+B13/100*($D$7-$D$6)</f>
        <v>50</v>
      </c>
      <c r="F13" s="20" t="n">
        <v>50</v>
      </c>
      <c r="G13" s="14" t="n">
        <f aca="false">IF(D13="","",(D13-C13)/16*100)</f>
        <v>0</v>
      </c>
      <c r="H13" s="14" t="n">
        <f aca="false">IF(F13="","",(F13-E13)/($D$7-$D$6)*100)</f>
        <v>0</v>
      </c>
      <c r="I13" s="15" t="str">
        <f aca="false">IF(OR(D13="",F13=""),"",IF(AND(ABS(G13)&lt;=$D$9,ABS(H13)&lt;=$D$9),"PASS","FAIL"))</f>
        <v>PASS</v>
      </c>
    </row>
    <row r="14" customFormat="false" ht="15" hidden="false" customHeight="false" outlineLevel="0" collapsed="false">
      <c r="B14" s="19" t="n">
        <v>50</v>
      </c>
      <c r="C14" s="17" t="n">
        <f aca="false">4+0.16*B14</f>
        <v>12</v>
      </c>
      <c r="D14" s="20" t="n">
        <v>12.02</v>
      </c>
      <c r="E14" s="17" t="n">
        <f aca="false">$D$6+B14/100*($D$7-$D$6)</f>
        <v>100</v>
      </c>
      <c r="F14" s="20" t="n">
        <v>100.2</v>
      </c>
      <c r="G14" s="14" t="n">
        <f aca="false">IF(D14="","",(D14-C14)/16*100)</f>
        <v>0.124999999999997</v>
      </c>
      <c r="H14" s="14" t="n">
        <f aca="false">IF(F14="","",(F14-E14)/($D$7-$D$6)*100)</f>
        <v>0.100000000000001</v>
      </c>
      <c r="I14" s="15" t="str">
        <f aca="false">IF(OR(D14="",F14=""),"",IF(AND(ABS(G14)&lt;=$D$9,ABS(H14)&lt;=$D$9),"PASS","FAIL"))</f>
        <v>PASS</v>
      </c>
    </row>
    <row r="15" customFormat="false" ht="15" hidden="false" customHeight="false" outlineLevel="0" collapsed="false">
      <c r="B15" s="19" t="n">
        <v>75</v>
      </c>
      <c r="C15" s="17" t="n">
        <f aca="false">4+0.16*B15</f>
        <v>16</v>
      </c>
      <c r="D15" s="20" t="n">
        <v>16</v>
      </c>
      <c r="E15" s="17" t="n">
        <f aca="false">$D$6+B15/100*($D$7-$D$6)</f>
        <v>150</v>
      </c>
      <c r="F15" s="20" t="n">
        <v>150</v>
      </c>
      <c r="G15" s="14" t="n">
        <f aca="false">IF(D15="","",(D15-C15)/16*100)</f>
        <v>0</v>
      </c>
      <c r="H15" s="14" t="n">
        <f aca="false">IF(F15="","",(F15-E15)/($D$7-$D$6)*100)</f>
        <v>0</v>
      </c>
      <c r="I15" s="15" t="str">
        <f aca="false">IF(OR(D15="",F15=""),"",IF(AND(ABS(G15)&lt;=$D$9,ABS(H15)&lt;=$D$9),"PASS","FAIL"))</f>
        <v>PASS</v>
      </c>
    </row>
    <row r="16" customFormat="false" ht="15" hidden="false" customHeight="false" outlineLevel="0" collapsed="false">
      <c r="B16" s="19" t="n">
        <v>100</v>
      </c>
      <c r="C16" s="17" t="n">
        <f aca="false">4+0.16*B16</f>
        <v>20</v>
      </c>
      <c r="D16" s="20" t="n">
        <v>19.99</v>
      </c>
      <c r="E16" s="17" t="n">
        <f aca="false">$D$6+B16/100*($D$7-$D$6)</f>
        <v>200</v>
      </c>
      <c r="F16" s="20" t="n">
        <v>199.9</v>
      </c>
      <c r="G16" s="14" t="n">
        <f aca="false">IF(D16="","",(D16-C16)/16*100)</f>
        <v>-0.0625000000000098</v>
      </c>
      <c r="H16" s="14" t="n">
        <f aca="false">IF(F16="","",(F16-E16)/($D$7-$D$6)*100)</f>
        <v>-0.0499999999999972</v>
      </c>
      <c r="I16" s="15" t="str">
        <f aca="false">IF(OR(D16="",F16=""),"",IF(AND(ABS(G16)&lt;=$D$9,ABS(H16)&lt;=$D$9),"PASS","FAIL"))</f>
        <v>PASS</v>
      </c>
    </row>
    <row r="18" customFormat="false" ht="15" hidden="false" customHeight="false" outlineLevel="0" collapsed="false">
      <c r="B18" s="5" t="s">
        <v>69</v>
      </c>
      <c r="I18" s="15" t="str">
        <f aca="false">IF(COUNTIF(I12:I16,"FAIL")&gt;0,"FAIL",IF(COUNTIF(I12:I16,"PASS")=5,"PASS",""))</f>
        <v>PASS</v>
      </c>
    </row>
    <row r="20" customFormat="false" ht="15" hidden="false" customHeight="false" outlineLevel="0" collapsed="false">
      <c r="B20" s="10" t="s">
        <v>70</v>
      </c>
    </row>
    <row r="21" customFormat="false" ht="15" hidden="false" customHeight="false" outlineLevel="0" collapsed="false">
      <c r="B21" s="21" t="s">
        <v>71</v>
      </c>
    </row>
    <row r="22" customFormat="false" ht="15" hidden="false" customHeight="false" outlineLevel="0" collapsed="false">
      <c r="B22" s="21" t="s">
        <v>72</v>
      </c>
    </row>
    <row r="23" customFormat="false" ht="15" hidden="false" customHeight="false" outlineLevel="0" collapsed="false">
      <c r="B23" s="21" t="s">
        <v>73</v>
      </c>
    </row>
    <row r="24" customFormat="false" ht="15" hidden="false" customHeight="false" outlineLevel="0" collapsed="false">
      <c r="B24" s="21" t="s">
        <v>74</v>
      </c>
    </row>
  </sheetData>
  <conditionalFormatting sqref="I12:I16">
    <cfRule type="expression" priority="2" aboveAverage="0" equalAverage="0" bottom="0" percent="0" rank="0" text="" dxfId="0">
      <formula>I12="PASS"</formula>
    </cfRule>
    <cfRule type="expression" priority="3" aboveAverage="0" equalAverage="0" bottom="0" percent="0" rank="0" text="" dxfId="1">
      <formula>I12="FAIL"</formula>
    </cfRule>
  </conditionalFormatting>
  <conditionalFormatting sqref="I18">
    <cfRule type="expression" priority="4" aboveAverage="0" equalAverage="0" bottom="0" percent="0" rank="0" text="" dxfId="0">
      <formula>I18="PASS"</formula>
    </cfRule>
    <cfRule type="expression" priority="5" aboveAverage="0" equalAverage="0" bottom="0" percent="0" rank="0" text="" dxfId="1">
      <formula>I18="FAIL"</formula>
    </cfRule>
  </conditionalFormatting>
  <dataValidations count="1">
    <dataValidation allowBlank="true" errorStyle="stop" operator="between" showDropDown="false" showErrorMessage="false" showInputMessage="false" sqref="G6" type="list">
      <formula1>"UP,DOWN,HOLD"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4"/>
    <col collapsed="false" customWidth="true" hidden="false" outlineLevel="0" max="10" min="9" style="0" width="10"/>
    <col collapsed="false" customWidth="true" hidden="false" outlineLevel="0" max="11" min="11" style="0" width="12"/>
  </cols>
  <sheetData>
    <row r="2" customFormat="false" ht="19.7" hidden="false" customHeight="false" outlineLevel="0" collapsed="false">
      <c r="B2" s="1" t="s">
        <v>75</v>
      </c>
    </row>
    <row r="4" customFormat="false" ht="15" hidden="false" customHeight="false" outlineLevel="0" collapsed="false">
      <c r="B4" s="5" t="s">
        <v>26</v>
      </c>
      <c r="C4" s="8" t="n">
        <v>0</v>
      </c>
      <c r="I4" s="10" t="s">
        <v>76</v>
      </c>
    </row>
    <row r="5" customFormat="false" ht="15" hidden="false" customHeight="false" outlineLevel="0" collapsed="false">
      <c r="B5" s="5" t="s">
        <v>28</v>
      </c>
      <c r="C5" s="8" t="n">
        <v>150</v>
      </c>
      <c r="I5" s="11" t="s">
        <v>35</v>
      </c>
      <c r="J5" s="11" t="s">
        <v>77</v>
      </c>
      <c r="K5" s="11" t="s">
        <v>78</v>
      </c>
    </row>
    <row r="6" customFormat="false" ht="15" hidden="false" customHeight="false" outlineLevel="0" collapsed="false">
      <c r="B6" s="5" t="s">
        <v>30</v>
      </c>
      <c r="C6" s="6" t="s">
        <v>79</v>
      </c>
      <c r="I6" s="22" t="n">
        <v>0</v>
      </c>
      <c r="J6" s="17" t="n">
        <f aca="false">4+0.16*I6</f>
        <v>4</v>
      </c>
      <c r="K6" s="17" t="n">
        <f aca="false">$C$4+I6/100*($C$5-$C$4)</f>
        <v>0</v>
      </c>
    </row>
    <row r="7" customFormat="false" ht="15" hidden="false" customHeight="false" outlineLevel="0" collapsed="false">
      <c r="I7" s="22" t="n">
        <v>5</v>
      </c>
      <c r="J7" s="17" t="n">
        <f aca="false">4+0.16*I7</f>
        <v>4.8</v>
      </c>
      <c r="K7" s="17" t="n">
        <f aca="false">$C$4+I7/100*($C$5-$C$4)</f>
        <v>7.5</v>
      </c>
    </row>
    <row r="8" customFormat="false" ht="15" hidden="false" customHeight="false" outlineLevel="0" collapsed="false">
      <c r="B8" s="10" t="s">
        <v>80</v>
      </c>
      <c r="I8" s="22" t="n">
        <v>10</v>
      </c>
      <c r="J8" s="17" t="n">
        <f aca="false">4+0.16*I8</f>
        <v>5.6</v>
      </c>
      <c r="K8" s="17" t="n">
        <f aca="false">$C$4+I8/100*($C$5-$C$4)</f>
        <v>15</v>
      </c>
    </row>
    <row r="9" customFormat="false" ht="15" hidden="false" customHeight="false" outlineLevel="0" collapsed="false">
      <c r="B9" s="5" t="s">
        <v>81</v>
      </c>
      <c r="C9" s="8" t="n">
        <v>3.6</v>
      </c>
      <c r="I9" s="22" t="n">
        <v>15</v>
      </c>
      <c r="J9" s="17" t="n">
        <f aca="false">4+0.16*I9</f>
        <v>6.4</v>
      </c>
      <c r="K9" s="17" t="n">
        <f aca="false">$C$4+I9/100*($C$5-$C$4)</f>
        <v>22.5</v>
      </c>
    </row>
    <row r="10" customFormat="false" ht="15" hidden="false" customHeight="false" outlineLevel="0" collapsed="false">
      <c r="B10" s="5" t="s">
        <v>82</v>
      </c>
      <c r="C10" s="17" t="n">
        <f aca="false">(C9-4)/16*100</f>
        <v>-2.5</v>
      </c>
      <c r="I10" s="22" t="n">
        <v>20</v>
      </c>
      <c r="J10" s="17" t="n">
        <f aca="false">4+0.16*I10</f>
        <v>7.2</v>
      </c>
      <c r="K10" s="17" t="n">
        <f aca="false">$C$4+I10/100*($C$5-$C$4)</f>
        <v>30</v>
      </c>
    </row>
    <row r="11" customFormat="false" ht="15" hidden="false" customHeight="false" outlineLevel="0" collapsed="false">
      <c r="B11" s="5" t="s">
        <v>83</v>
      </c>
      <c r="C11" s="17" t="n">
        <f aca="false">C4+(C9-4)/16*(C5-C4)</f>
        <v>-3.75</v>
      </c>
      <c r="I11" s="22" t="n">
        <v>25</v>
      </c>
      <c r="J11" s="17" t="n">
        <f aca="false">4+0.16*I11</f>
        <v>8</v>
      </c>
      <c r="K11" s="17" t="n">
        <f aca="false">$C$4+I11/100*($C$5-$C$4)</f>
        <v>37.5</v>
      </c>
    </row>
    <row r="12" customFormat="false" ht="30" hidden="false" customHeight="true" outlineLevel="0" collapsed="false">
      <c r="B12" s="5" t="s">
        <v>84</v>
      </c>
      <c r="C12" s="23" t="str">
        <f aca="false">IF(C9&lt;=0.05,"Open circuit / no supply",IF(C9&lt;=3.6,"Low failure alarm (NE43) or supply/leakage problem",IF(C9&lt;3.8,"Ambiguous zone: check HART status",IF(C9&lt;4,"Under-range saturation: process below LRV or range wrong",IF(C9&lt;=20,"Valid measurement",IF(C9&lt;=20.5,"Over-range saturation: process above URV or range wrong",IF(C9&lt;21,"Ambiguous zone: check HART status",IF(C9&lt;=23,"High failure alarm (NE43)","Beyond normal output: suspect short or foreign source"))))))))</f>
        <v>Low failure alarm (NE43) or supply/leakage problem</v>
      </c>
      <c r="D12" s="23"/>
      <c r="E12" s="23"/>
      <c r="F12" s="23"/>
      <c r="G12" s="23"/>
      <c r="I12" s="22" t="n">
        <v>30</v>
      </c>
      <c r="J12" s="17" t="n">
        <f aca="false">4+0.16*I12</f>
        <v>8.8</v>
      </c>
      <c r="K12" s="17" t="n">
        <f aca="false">$C$4+I12/100*($C$5-$C$4)</f>
        <v>45</v>
      </c>
    </row>
    <row r="13" customFormat="false" ht="15" hidden="false" customHeight="false" outlineLevel="0" collapsed="false">
      <c r="B13" s="2" t="s">
        <v>85</v>
      </c>
      <c r="I13" s="22" t="n">
        <v>35</v>
      </c>
      <c r="J13" s="17" t="n">
        <f aca="false">4+0.16*I13</f>
        <v>9.6</v>
      </c>
      <c r="K13" s="17" t="n">
        <f aca="false">$C$4+I13/100*($C$5-$C$4)</f>
        <v>52.5</v>
      </c>
    </row>
    <row r="14" customFormat="false" ht="15" hidden="false" customHeight="false" outlineLevel="0" collapsed="false">
      <c r="I14" s="22" t="n">
        <v>40</v>
      </c>
      <c r="J14" s="17" t="n">
        <f aca="false">4+0.16*I14</f>
        <v>10.4</v>
      </c>
      <c r="K14" s="17" t="n">
        <f aca="false">$C$4+I14/100*($C$5-$C$4)</f>
        <v>60</v>
      </c>
    </row>
    <row r="15" customFormat="false" ht="15" hidden="false" customHeight="false" outlineLevel="0" collapsed="false">
      <c r="B15" s="10" t="s">
        <v>86</v>
      </c>
      <c r="I15" s="22" t="n">
        <v>45</v>
      </c>
      <c r="J15" s="17" t="n">
        <f aca="false">4+0.16*I15</f>
        <v>11.2</v>
      </c>
      <c r="K15" s="17" t="n">
        <f aca="false">$C$4+I15/100*($C$5-$C$4)</f>
        <v>67.5</v>
      </c>
    </row>
    <row r="16" customFormat="false" ht="15" hidden="false" customHeight="false" outlineLevel="0" collapsed="false">
      <c r="B16" s="5" t="s">
        <v>87</v>
      </c>
      <c r="C16" s="8" t="n">
        <v>75</v>
      </c>
      <c r="I16" s="22" t="n">
        <v>50</v>
      </c>
      <c r="J16" s="17" t="n">
        <f aca="false">4+0.16*I16</f>
        <v>12</v>
      </c>
      <c r="K16" s="17" t="n">
        <f aca="false">$C$4+I16/100*($C$5-$C$4)</f>
        <v>75</v>
      </c>
    </row>
    <row r="17" customFormat="false" ht="15" hidden="false" customHeight="false" outlineLevel="0" collapsed="false">
      <c r="B17" s="5" t="s">
        <v>82</v>
      </c>
      <c r="C17" s="17" t="n">
        <f aca="false">(C16-C4)/(C5-C4)*100</f>
        <v>50</v>
      </c>
      <c r="I17" s="22" t="n">
        <v>55</v>
      </c>
      <c r="J17" s="17" t="n">
        <f aca="false">4+0.16*I17</f>
        <v>12.8</v>
      </c>
      <c r="K17" s="17" t="n">
        <f aca="false">$C$4+I17/100*($C$5-$C$4)</f>
        <v>82.5</v>
      </c>
    </row>
    <row r="18" customFormat="false" ht="15" hidden="false" customHeight="false" outlineLevel="0" collapsed="false">
      <c r="B18" s="5" t="s">
        <v>88</v>
      </c>
      <c r="C18" s="13" t="n">
        <f aca="false">4+16*(C16-C4)/(C5-C4)</f>
        <v>12</v>
      </c>
      <c r="I18" s="22" t="n">
        <v>60</v>
      </c>
      <c r="J18" s="17" t="n">
        <f aca="false">4+0.16*I18</f>
        <v>13.6</v>
      </c>
      <c r="K18" s="17" t="n">
        <f aca="false">$C$4+I18/100*($C$5-$C$4)</f>
        <v>90</v>
      </c>
    </row>
    <row r="19" customFormat="false" ht="15" hidden="false" customHeight="false" outlineLevel="0" collapsed="false">
      <c r="B19" s="5" t="s">
        <v>89</v>
      </c>
      <c r="C19" s="13" t="n">
        <f aca="false">C18/1000*250</f>
        <v>3</v>
      </c>
      <c r="I19" s="22" t="n">
        <v>65</v>
      </c>
      <c r="J19" s="17" t="n">
        <f aca="false">4+0.16*I19</f>
        <v>14.4</v>
      </c>
      <c r="K19" s="17" t="n">
        <f aca="false">$C$4+I19/100*($C$5-$C$4)</f>
        <v>97.5</v>
      </c>
    </row>
    <row r="20" customFormat="false" ht="15" hidden="false" customHeight="false" outlineLevel="0" collapsed="false">
      <c r="I20" s="22" t="n">
        <v>70</v>
      </c>
      <c r="J20" s="17" t="n">
        <f aca="false">4+0.16*I20</f>
        <v>15.2</v>
      </c>
      <c r="K20" s="17" t="n">
        <f aca="false">$C$4+I20/100*($C$5-$C$4)</f>
        <v>105</v>
      </c>
    </row>
    <row r="21" customFormat="false" ht="15" hidden="false" customHeight="false" outlineLevel="0" collapsed="false">
      <c r="I21" s="22" t="n">
        <v>75</v>
      </c>
      <c r="J21" s="17" t="n">
        <f aca="false">4+0.16*I21</f>
        <v>16</v>
      </c>
      <c r="K21" s="17" t="n">
        <f aca="false">$C$4+I21/100*($C$5-$C$4)</f>
        <v>112.5</v>
      </c>
    </row>
    <row r="22" customFormat="false" ht="15" hidden="false" customHeight="false" outlineLevel="0" collapsed="false">
      <c r="I22" s="22" t="n">
        <v>80</v>
      </c>
      <c r="J22" s="17" t="n">
        <f aca="false">4+0.16*I22</f>
        <v>16.8</v>
      </c>
      <c r="K22" s="17" t="n">
        <f aca="false">$C$4+I22/100*($C$5-$C$4)</f>
        <v>120</v>
      </c>
    </row>
    <row r="23" customFormat="false" ht="15" hidden="false" customHeight="false" outlineLevel="0" collapsed="false">
      <c r="I23" s="22" t="n">
        <v>85</v>
      </c>
      <c r="J23" s="17" t="n">
        <f aca="false">4+0.16*I23</f>
        <v>17.6</v>
      </c>
      <c r="K23" s="17" t="n">
        <f aca="false">$C$4+I23/100*($C$5-$C$4)</f>
        <v>127.5</v>
      </c>
    </row>
    <row r="24" customFormat="false" ht="15" hidden="false" customHeight="false" outlineLevel="0" collapsed="false">
      <c r="I24" s="22" t="n">
        <v>90</v>
      </c>
      <c r="J24" s="17" t="n">
        <f aca="false">4+0.16*I24</f>
        <v>18.4</v>
      </c>
      <c r="K24" s="17" t="n">
        <f aca="false">$C$4+I24/100*($C$5-$C$4)</f>
        <v>135</v>
      </c>
    </row>
    <row r="25" customFormat="false" ht="15" hidden="false" customHeight="false" outlineLevel="0" collapsed="false">
      <c r="I25" s="22" t="n">
        <v>95</v>
      </c>
      <c r="J25" s="17" t="n">
        <f aca="false">4+0.16*I25</f>
        <v>19.2</v>
      </c>
      <c r="K25" s="17" t="n">
        <f aca="false">$C$4+I25/100*($C$5-$C$4)</f>
        <v>142.5</v>
      </c>
    </row>
    <row r="26" customFormat="false" ht="15" hidden="false" customHeight="false" outlineLevel="0" collapsed="false">
      <c r="I26" s="22" t="n">
        <v>100</v>
      </c>
      <c r="J26" s="17" t="n">
        <f aca="false">4+0.16*I26</f>
        <v>20</v>
      </c>
      <c r="K26" s="17" t="n">
        <f aca="false">$C$4+I26/100*($C$5-$C$4)</f>
        <v>150</v>
      </c>
    </row>
  </sheetData>
  <mergeCells count="1">
    <mergeCell ref="C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30"/>
  </cols>
  <sheetData>
    <row r="2" customFormat="false" ht="19.7" hidden="false" customHeight="false" outlineLevel="0" collapsed="false">
      <c r="B2" s="1" t="s">
        <v>90</v>
      </c>
    </row>
    <row r="3" customFormat="false" ht="15" hidden="false" customHeight="false" outlineLevel="0" collapsed="false">
      <c r="B3" s="2" t="s">
        <v>91</v>
      </c>
    </row>
    <row r="5" customFormat="false" ht="15" hidden="false" customHeight="false" outlineLevel="0" collapsed="false">
      <c r="C5" s="5" t="s">
        <v>20</v>
      </c>
      <c r="D5" s="6" t="s">
        <v>92</v>
      </c>
    </row>
    <row r="6" customFormat="false" ht="15" hidden="false" customHeight="false" outlineLevel="0" collapsed="false">
      <c r="C6" s="5" t="s">
        <v>93</v>
      </c>
      <c r="D6" s="19" t="n">
        <v>7</v>
      </c>
      <c r="E6" s="2" t="s">
        <v>94</v>
      </c>
    </row>
    <row r="8" customFormat="false" ht="15" hidden="false" customHeight="false" outlineLevel="0" collapsed="false">
      <c r="B8" s="11" t="s">
        <v>95</v>
      </c>
      <c r="C8" s="11" t="s">
        <v>96</v>
      </c>
      <c r="D8" s="11" t="s">
        <v>97</v>
      </c>
      <c r="E8" s="11" t="s">
        <v>98</v>
      </c>
      <c r="F8" s="11" t="s">
        <v>99</v>
      </c>
      <c r="G8" s="11" t="s">
        <v>100</v>
      </c>
      <c r="H8" s="11" t="s">
        <v>101</v>
      </c>
      <c r="I8" s="11" t="s">
        <v>102</v>
      </c>
    </row>
    <row r="9" customFormat="false" ht="15" hidden="false" customHeight="false" outlineLevel="0" collapsed="false">
      <c r="B9" s="22" t="n">
        <v>1</v>
      </c>
      <c r="C9" s="24" t="s">
        <v>103</v>
      </c>
      <c r="D9" s="6" t="s">
        <v>104</v>
      </c>
      <c r="E9" s="6" t="s">
        <v>104</v>
      </c>
      <c r="F9" s="6" t="s">
        <v>105</v>
      </c>
      <c r="G9" s="22" t="n">
        <f aca="false">D6</f>
        <v>7</v>
      </c>
      <c r="H9" s="19" t="n">
        <v>4</v>
      </c>
      <c r="I9" s="23" t="str">
        <f aca="false">IF(OR(G9="",H9=""),"",IF(H9&lt;=1,"Isolated",IF(H9&gt;=G9,"Eliminated nothing: wrong measurement",IF(H9&gt;G9*0.75,"Weak cut: measure closer to middle","Good cut"))))</f>
        <v>Good cut</v>
      </c>
    </row>
    <row r="10" customFormat="false" ht="15" hidden="false" customHeight="false" outlineLevel="0" collapsed="false">
      <c r="B10" s="22" t="n">
        <v>2</v>
      </c>
      <c r="C10" s="24" t="s">
        <v>106</v>
      </c>
      <c r="D10" s="6" t="s">
        <v>104</v>
      </c>
      <c r="E10" s="6" t="s">
        <v>104</v>
      </c>
      <c r="F10" s="6" t="s">
        <v>105</v>
      </c>
      <c r="G10" s="22" t="n">
        <f aca="false">IF(OR(C10="",H9=""),"",H9)</f>
        <v>4</v>
      </c>
      <c r="H10" s="19" t="n">
        <v>2</v>
      </c>
      <c r="I10" s="23" t="str">
        <f aca="false">IF(OR(G10="",H10=""),"",IF(H10&lt;=1,"Isolated",IF(H10&gt;=G10,"Eliminated nothing: wrong measurement",IF(H10&gt;G10*0.75,"Weak cut: measure closer to middle","Good cut"))))</f>
        <v>Good cut</v>
      </c>
    </row>
    <row r="11" customFormat="false" ht="28.35" hidden="false" customHeight="false" outlineLevel="0" collapsed="false">
      <c r="B11" s="22" t="n">
        <v>3</v>
      </c>
      <c r="C11" s="24" t="s">
        <v>107</v>
      </c>
      <c r="D11" s="6" t="s">
        <v>108</v>
      </c>
      <c r="E11" s="6" t="s">
        <v>109</v>
      </c>
      <c r="F11" s="6" t="s">
        <v>110</v>
      </c>
      <c r="G11" s="22" t="n">
        <f aca="false">IF(OR(C11="",H10=""),"",H10)</f>
        <v>2</v>
      </c>
      <c r="H11" s="19" t="n">
        <v>1</v>
      </c>
      <c r="I11" s="23" t="str">
        <f aca="false">IF(OR(G11="",H11=""),"",IF(H11&lt;=1,"Isolated",IF(H11&gt;=G11,"Eliminated nothing: wrong measurement",IF(H11&gt;G11*0.75,"Weak cut: measure closer to middle","Good cut"))))</f>
        <v>Isolated</v>
      </c>
    </row>
    <row r="12" customFormat="false" ht="15" hidden="false" customHeight="false" outlineLevel="0" collapsed="false">
      <c r="B12" s="22" t="n">
        <v>4</v>
      </c>
      <c r="C12" s="24"/>
      <c r="D12" s="6"/>
      <c r="E12" s="6"/>
      <c r="F12" s="6"/>
      <c r="G12" s="22" t="str">
        <f aca="false">IF(OR(C12="",H11=""),"",H11)</f>
        <v/>
      </c>
      <c r="H12" s="19"/>
      <c r="I12" s="23" t="str">
        <f aca="false">IF(OR(G12="",H12=""),"",IF(H12&lt;=1,"Isolated",IF(H12&gt;=G12,"Eliminated nothing: wrong measurement",IF(H12&gt;G12*0.75,"Weak cut: measure closer to middle","Good cut"))))</f>
        <v/>
      </c>
    </row>
    <row r="13" customFormat="false" ht="15" hidden="false" customHeight="false" outlineLevel="0" collapsed="false">
      <c r="B13" s="22" t="n">
        <v>5</v>
      </c>
      <c r="C13" s="24"/>
      <c r="D13" s="6"/>
      <c r="E13" s="6"/>
      <c r="F13" s="6"/>
      <c r="G13" s="22" t="str">
        <f aca="false">IF(OR(C13="",H12=""),"",H12)</f>
        <v/>
      </c>
      <c r="H13" s="19"/>
      <c r="I13" s="23" t="str">
        <f aca="false">IF(OR(G13="",H13=""),"",IF(H13&lt;=1,"Isolated",IF(H13&gt;=G13,"Eliminated nothing: wrong measurement",IF(H13&gt;G13*0.75,"Weak cut: measure closer to middle","Good cut"))))</f>
        <v/>
      </c>
    </row>
    <row r="14" customFormat="false" ht="15" hidden="false" customHeight="false" outlineLevel="0" collapsed="false">
      <c r="B14" s="22" t="n">
        <v>6</v>
      </c>
      <c r="C14" s="24"/>
      <c r="D14" s="6"/>
      <c r="E14" s="6"/>
      <c r="F14" s="6"/>
      <c r="G14" s="22" t="str">
        <f aca="false">IF(OR(C14="",H13=""),"",H13)</f>
        <v/>
      </c>
      <c r="H14" s="19"/>
      <c r="I14" s="23" t="str">
        <f aca="false">IF(OR(G14="",H14=""),"",IF(H14&lt;=1,"Isolated",IF(H14&gt;=G14,"Eliminated nothing: wrong measurement",IF(H14&gt;G14*0.75,"Weak cut: measure closer to middle","Good cut"))))</f>
        <v/>
      </c>
    </row>
    <row r="15" customFormat="false" ht="15" hidden="false" customHeight="false" outlineLevel="0" collapsed="false">
      <c r="B15" s="22" t="n">
        <v>7</v>
      </c>
      <c r="C15" s="24"/>
      <c r="D15" s="6"/>
      <c r="E15" s="6"/>
      <c r="F15" s="6"/>
      <c r="G15" s="22" t="str">
        <f aca="false">IF(OR(C15="",H14=""),"",H14)</f>
        <v/>
      </c>
      <c r="H15" s="19"/>
      <c r="I15" s="23" t="str">
        <f aca="false">IF(OR(G15="",H15=""),"",IF(H15&lt;=1,"Isolated",IF(H15&gt;=G15,"Eliminated nothing: wrong measurement",IF(H15&gt;G15*0.75,"Weak cut: measure closer to middle","Good cut"))))</f>
        <v/>
      </c>
    </row>
    <row r="16" customFormat="false" ht="15" hidden="false" customHeight="false" outlineLevel="0" collapsed="false">
      <c r="B16" s="22" t="n">
        <v>8</v>
      </c>
      <c r="C16" s="24"/>
      <c r="D16" s="6"/>
      <c r="E16" s="6"/>
      <c r="F16" s="6"/>
      <c r="G16" s="22" t="str">
        <f aca="false">IF(OR(C16="",H15=""),"",H15)</f>
        <v/>
      </c>
      <c r="H16" s="19"/>
      <c r="I16" s="23" t="str">
        <f aca="false">IF(OR(G16="",H16=""),"",IF(H16&lt;=1,"Isolated",IF(H16&gt;=G16,"Eliminated nothing: wrong measurement",IF(H16&gt;G16*0.75,"Weak cut: measure closer to middle","Good cut"))))</f>
        <v/>
      </c>
    </row>
    <row r="17" customFormat="false" ht="15" hidden="false" customHeight="false" outlineLevel="0" collapsed="false">
      <c r="B17" s="22" t="n">
        <v>9</v>
      </c>
      <c r="C17" s="24"/>
      <c r="D17" s="6"/>
      <c r="E17" s="6"/>
      <c r="F17" s="6"/>
      <c r="G17" s="22" t="str">
        <f aca="false">IF(OR(C17="",H16=""),"",H16)</f>
        <v/>
      </c>
      <c r="H17" s="19"/>
      <c r="I17" s="23" t="str">
        <f aca="false">IF(OR(G17="",H17=""),"",IF(H17&lt;=1,"Isolated",IF(H17&gt;=G17,"Eliminated nothing: wrong measurement",IF(H17&gt;G17*0.75,"Weak cut: measure closer to middle","Good cut"))))</f>
        <v/>
      </c>
    </row>
    <row r="18" customFormat="false" ht="15" hidden="false" customHeight="false" outlineLevel="0" collapsed="false">
      <c r="B18" s="22" t="n">
        <v>10</v>
      </c>
      <c r="C18" s="24"/>
      <c r="D18" s="6"/>
      <c r="E18" s="6"/>
      <c r="F18" s="6"/>
      <c r="G18" s="22" t="str">
        <f aca="false">IF(OR(C18="",H17=""),"",H17)</f>
        <v/>
      </c>
      <c r="H18" s="19"/>
      <c r="I18" s="23" t="str">
        <f aca="false">IF(OR(G18="",H18=""),"",IF(H18&lt;=1,"Isolated",IF(H18&gt;=G18,"Eliminated nothing: wrong measurement",IF(H18&gt;G18*0.75,"Weak cut: measure closer to middle","Good cut"))))</f>
        <v/>
      </c>
    </row>
    <row r="20" customFormat="false" ht="15" hidden="false" customHeight="true" outlineLevel="0" collapsed="false">
      <c r="B20" s="5" t="s">
        <v>111</v>
      </c>
      <c r="D20" s="24" t="s">
        <v>112</v>
      </c>
      <c r="E20" s="24"/>
      <c r="F20" s="24"/>
      <c r="G20" s="24"/>
      <c r="H20" s="24"/>
      <c r="I20" s="24"/>
    </row>
    <row r="21" customFormat="false" ht="15" hidden="false" customHeight="false" outlineLevel="0" collapsed="false">
      <c r="B21" s="5" t="s">
        <v>113</v>
      </c>
      <c r="D21" s="24"/>
      <c r="E21" s="24"/>
      <c r="F21" s="24"/>
      <c r="G21" s="24"/>
      <c r="H21" s="24"/>
      <c r="I21" s="24"/>
    </row>
  </sheetData>
  <mergeCells count="2">
    <mergeCell ref="D20:I20"/>
    <mergeCell ref="D21:I21"/>
  </mergeCells>
  <conditionalFormatting sqref="I9:I18">
    <cfRule type="expression" priority="2" aboveAverage="0" equalAverage="0" bottom="0" percent="0" rank="0" text="" dxfId="2">
      <formula>LEFT(I9,10)="Eliminated"</formula>
    </cfRule>
    <cfRule type="expression" priority="3" aboveAverage="0" equalAverage="0" bottom="0" percent="0" rank="0" text="" dxfId="3">
      <formula>I9="Isolated"</formula>
    </cfRule>
  </conditionalFormatting>
  <dataValidations count="1">
    <dataValidation allowBlank="true" errorStyle="stop" operator="between" showDropDown="false" showErrorMessage="false" showInputMessage="false" sqref="F9:F18" type="list">
      <formula1>"Good,Bad"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2026-09-23T21:58:26Z</dcterms:created>
  <dc:creator>openpyxl</dc:creator>
  <dc:description/>
  <dc:language>en-US</dc:language>
  <cp:lastModifiedBy/>
  <dcterms:modified xsi:type="dcterms:W3CDTF">2026-09-23T21:58:26Z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